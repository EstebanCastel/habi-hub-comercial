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M" sheetId="1" r:id="rId5"/>
    <sheet state="visible" name=" MM Con Palancas" sheetId="2" r:id="rId6"/>
    <sheet state="visible" name="CVR city Manager" sheetId="3" r:id="rId7"/>
    <sheet state="visible" name="Inmo" sheetId="4" r:id="rId8"/>
  </sheets>
  <definedNames/>
  <calcPr/>
</workbook>
</file>

<file path=xl/sharedStrings.xml><?xml version="1.0" encoding="utf-8"?>
<sst xmlns="http://schemas.openxmlformats.org/spreadsheetml/2006/main" count="178" uniqueCount="46">
  <si>
    <t>Julio</t>
  </si>
  <si>
    <t>Ciclo</t>
  </si>
  <si>
    <t>Week</t>
  </si>
  <si>
    <t>Asignados</t>
  </si>
  <si>
    <t>Norte</t>
  </si>
  <si>
    <t>Centro</t>
  </si>
  <si>
    <t>Sur</t>
  </si>
  <si>
    <t>Medellin</t>
  </si>
  <si>
    <t>Cali</t>
  </si>
  <si>
    <t>Barranquilla</t>
  </si>
  <si>
    <t>Agendas</t>
  </si>
  <si>
    <t>Visitas</t>
  </si>
  <si>
    <t>Comites</t>
  </si>
  <si>
    <t>Aprobados</t>
  </si>
  <si>
    <t>Cierres</t>
  </si>
  <si>
    <t>A Norte</t>
  </si>
  <si>
    <t>B Norte</t>
  </si>
  <si>
    <t>C Norte</t>
  </si>
  <si>
    <t>A Centro</t>
  </si>
  <si>
    <t>B Centro</t>
  </si>
  <si>
    <t>C Centro</t>
  </si>
  <si>
    <t>A Sur</t>
  </si>
  <si>
    <t>B Sur</t>
  </si>
  <si>
    <t>C Sur</t>
  </si>
  <si>
    <t>A Medellin</t>
  </si>
  <si>
    <t>B Medellin</t>
  </si>
  <si>
    <t>C Medellin</t>
  </si>
  <si>
    <t>A Cali</t>
  </si>
  <si>
    <t>B Cali</t>
  </si>
  <si>
    <t>C Cali</t>
  </si>
  <si>
    <t>A Barranquilla</t>
  </si>
  <si>
    <t>B Barranquilla</t>
  </si>
  <si>
    <t>C Barranquilla</t>
  </si>
  <si>
    <t>A</t>
  </si>
  <si>
    <t>B</t>
  </si>
  <si>
    <t>C</t>
  </si>
  <si>
    <t>Esquema actual</t>
  </si>
  <si>
    <t>Medellín</t>
  </si>
  <si>
    <t>Inmobiliaria 1</t>
  </si>
  <si>
    <t>Inmobiliaria 2</t>
  </si>
  <si>
    <t>Perfilados</t>
  </si>
  <si>
    <t>Aprobado</t>
  </si>
  <si>
    <t>Ofertado</t>
  </si>
  <si>
    <t>Oferta acept.</t>
  </si>
  <si>
    <t>Legalizados</t>
  </si>
  <si>
    <t>Captaciones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</si>
</sst>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Montserrat"/>
    </font>
    <font>
      <color theme="1"/>
      <name val="Montserrat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1" xfId="0" applyAlignment="1" applyFill="1" applyFont="1" applyNumberFormat="1">
      <alignment horizontal="center" readingOrder="0"/>
    </xf>
    <xf borderId="0" fillId="3" fontId="1" numFmtId="1" xfId="0" applyFont="1" applyNumberFormat="1"/>
    <xf borderId="0" fillId="2" fontId="3" numFmtId="0" xfId="0" applyAlignment="1" applyFont="1">
      <alignment vertical="bottom"/>
    </xf>
    <xf borderId="0" fillId="3" fontId="3" numFmtId="1" xfId="0" applyAlignment="1" applyFont="1" applyNumberFormat="1">
      <alignment horizontal="right" vertical="bottom"/>
    </xf>
    <xf borderId="0" fillId="2" fontId="3" numFmtId="164" xfId="0" applyAlignment="1" applyFont="1" applyNumberFormat="1">
      <alignment vertical="bottom"/>
    </xf>
    <xf borderId="1" fillId="4" fontId="2" numFmtId="0" xfId="0" applyAlignment="1" applyBorder="1" applyFill="1" applyFont="1">
      <alignment vertical="bottom"/>
    </xf>
    <xf borderId="1" fillId="3" fontId="2" numFmtId="3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3" fontId="3" numFmtId="3" xfId="0" applyAlignment="1" applyFont="1" applyNumberFormat="1">
      <alignment horizontal="right" vertical="bottom"/>
    </xf>
    <xf borderId="0" fillId="0" fontId="4" numFmtId="10" xfId="0" applyFont="1" applyNumberFormat="1"/>
    <xf borderId="2" fillId="0" fontId="3" numFmtId="0" xfId="0" applyAlignment="1" applyBorder="1" applyFont="1">
      <alignment vertical="bottom"/>
    </xf>
    <xf borderId="2" fillId="3" fontId="3" numFmtId="3" xfId="0" applyAlignment="1" applyBorder="1" applyFont="1" applyNumberFormat="1">
      <alignment horizontal="right" vertical="bottom"/>
    </xf>
    <xf borderId="0" fillId="0" fontId="1" numFmtId="3" xfId="0" applyAlignment="1" applyFont="1" applyNumberFormat="1">
      <alignment vertical="bottom"/>
    </xf>
    <xf borderId="0" fillId="3" fontId="2" numFmtId="1" xfId="0" applyAlignment="1" applyFont="1" applyNumberFormat="1">
      <alignment horizontal="center"/>
    </xf>
    <xf borderId="0" fillId="3" fontId="3" numFmtId="3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1" fillId="4" fontId="2" numFmtId="0" xfId="0" applyAlignment="1" applyBorder="1" applyFont="1">
      <alignment readingOrder="0" vertical="bottom"/>
    </xf>
    <xf borderId="1" fillId="3" fontId="2" numFmtId="3" xfId="0" applyAlignment="1" applyBorder="1" applyFont="1" applyNumberFormat="1">
      <alignment horizontal="right" readingOrder="0" vertical="bottom"/>
    </xf>
    <xf borderId="0" fillId="0" fontId="4" numFmtId="3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1" fillId="3" fontId="2" numFmtId="3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3"/>
    </row>
    <row r="2">
      <c r="A2" s="4" t="s">
        <v>1</v>
      </c>
      <c r="B2" s="5">
        <v>6.0</v>
      </c>
      <c r="C2" s="5">
        <v>6.0</v>
      </c>
      <c r="D2" s="5">
        <v>6.0</v>
      </c>
      <c r="E2" s="5">
        <v>6.0</v>
      </c>
      <c r="F2" s="5">
        <v>6.0</v>
      </c>
    </row>
    <row r="3">
      <c r="A3" s="6" t="s">
        <v>2</v>
      </c>
      <c r="B3" s="5">
        <v>1.0</v>
      </c>
      <c r="C3" s="5">
        <v>2.0</v>
      </c>
      <c r="D3" s="5">
        <v>3.0</v>
      </c>
      <c r="E3" s="5">
        <v>4.0</v>
      </c>
      <c r="F3" s="5">
        <v>5.0</v>
      </c>
    </row>
    <row r="4">
      <c r="A4" s="7" t="s">
        <v>3</v>
      </c>
      <c r="B4" s="8">
        <v>1286.308222565939</v>
      </c>
      <c r="C4" s="8">
        <v>1286.308222565939</v>
      </c>
      <c r="D4" s="8">
        <v>1150.319102724711</v>
      </c>
      <c r="E4" s="8">
        <v>1286.308222565939</v>
      </c>
      <c r="F4" s="8">
        <v>1293.1671118038307</v>
      </c>
    </row>
    <row r="5">
      <c r="A5" s="9" t="s">
        <v>4</v>
      </c>
      <c r="B5" s="10">
        <v>488.55548834636653</v>
      </c>
      <c r="C5" s="10">
        <v>488.55548834636653</v>
      </c>
      <c r="D5" s="10">
        <v>436.905168704242</v>
      </c>
      <c r="E5" s="10">
        <v>488.55548834636653</v>
      </c>
      <c r="F5" s="10">
        <v>490.9221461544664</v>
      </c>
    </row>
    <row r="6">
      <c r="A6" s="9" t="s">
        <v>5</v>
      </c>
      <c r="B6" s="10">
        <v>0.0</v>
      </c>
      <c r="C6" s="10">
        <v>0.0</v>
      </c>
      <c r="D6" s="10">
        <v>0.0</v>
      </c>
      <c r="E6" s="10">
        <v>0.0</v>
      </c>
      <c r="F6" s="10">
        <v>0.0</v>
      </c>
    </row>
    <row r="7">
      <c r="A7" s="9" t="s">
        <v>6</v>
      </c>
      <c r="B7" s="10">
        <v>488.55548834636653</v>
      </c>
      <c r="C7" s="10">
        <v>488.55548834636653</v>
      </c>
      <c r="D7" s="10">
        <v>436.905168704242</v>
      </c>
      <c r="E7" s="10">
        <v>488.55548834636653</v>
      </c>
      <c r="F7" s="10">
        <v>490.9221461544664</v>
      </c>
    </row>
    <row r="8">
      <c r="A8" s="9" t="s">
        <v>7</v>
      </c>
      <c r="B8" s="10">
        <v>146.14789345970823</v>
      </c>
      <c r="C8" s="10">
        <v>146.14789345970823</v>
      </c>
      <c r="D8" s="10">
        <v>130.69706833896896</v>
      </c>
      <c r="E8" s="10">
        <v>146.14789345970823</v>
      </c>
      <c r="F8" s="10">
        <v>145.54516020608182</v>
      </c>
    </row>
    <row r="9">
      <c r="A9" s="9" t="s">
        <v>8</v>
      </c>
      <c r="B9" s="10">
        <v>86.80620132962247</v>
      </c>
      <c r="C9" s="10">
        <v>86.80620132962247</v>
      </c>
      <c r="D9" s="10">
        <v>77.62900825219062</v>
      </c>
      <c r="E9" s="10">
        <v>86.80620132962247</v>
      </c>
      <c r="F9" s="10">
        <v>88.56872200627666</v>
      </c>
    </row>
    <row r="10">
      <c r="A10" s="9" t="s">
        <v>9</v>
      </c>
      <c r="B10" s="10">
        <v>76.24315108387557</v>
      </c>
      <c r="C10" s="10">
        <v>76.24315108387557</v>
      </c>
      <c r="D10" s="10">
        <v>68.18268872506754</v>
      </c>
      <c r="E10" s="10">
        <v>76.24315108387557</v>
      </c>
      <c r="F10" s="10">
        <v>77.20893728253951</v>
      </c>
    </row>
    <row r="11">
      <c r="A11" s="7" t="s">
        <v>10</v>
      </c>
      <c r="B11" s="8">
        <v>403.47453654411487</v>
      </c>
      <c r="C11" s="8">
        <v>403.47453654411487</v>
      </c>
      <c r="D11" s="8">
        <v>360.8190157751267</v>
      </c>
      <c r="E11" s="8">
        <v>403.47453654411487</v>
      </c>
      <c r="F11" s="8">
        <v>405.61004986770405</v>
      </c>
    </row>
    <row r="12">
      <c r="A12" s="9" t="s">
        <v>4</v>
      </c>
      <c r="B12" s="10">
        <v>157.1614608241893</v>
      </c>
      <c r="C12" s="10">
        <v>157.1614608241893</v>
      </c>
      <c r="D12" s="10">
        <v>140.54627609979278</v>
      </c>
      <c r="E12" s="10">
        <v>157.1614608241893</v>
      </c>
      <c r="F12" s="10">
        <v>157.92278150784568</v>
      </c>
    </row>
    <row r="13">
      <c r="A13" s="9" t="s">
        <v>5</v>
      </c>
      <c r="B13" s="10">
        <v>0.0</v>
      </c>
      <c r="C13" s="10">
        <v>0.0</v>
      </c>
      <c r="D13" s="10">
        <v>0.0</v>
      </c>
      <c r="E13" s="10">
        <v>0.0</v>
      </c>
      <c r="F13" s="10">
        <v>0.0</v>
      </c>
    </row>
    <row r="14">
      <c r="A14" s="9" t="s">
        <v>6</v>
      </c>
      <c r="B14" s="10">
        <v>157.1614608241893</v>
      </c>
      <c r="C14" s="10">
        <v>157.1614608241893</v>
      </c>
      <c r="D14" s="10">
        <v>140.54627609979278</v>
      </c>
      <c r="E14" s="10">
        <v>157.1614608241893</v>
      </c>
      <c r="F14" s="10">
        <v>157.92278150784568</v>
      </c>
    </row>
    <row r="15">
      <c r="A15" s="9" t="s">
        <v>7</v>
      </c>
      <c r="B15" s="10">
        <v>42.13918749097132</v>
      </c>
      <c r="C15" s="10">
        <v>42.13918749097132</v>
      </c>
      <c r="D15" s="10">
        <v>37.68421245684577</v>
      </c>
      <c r="E15" s="10">
        <v>42.13918749097132</v>
      </c>
      <c r="F15" s="10">
        <v>41.96539990512009</v>
      </c>
    </row>
    <row r="16">
      <c r="A16" s="9" t="s">
        <v>8</v>
      </c>
      <c r="B16" s="10">
        <v>25.02904904487337</v>
      </c>
      <c r="C16" s="10">
        <v>25.02904904487337</v>
      </c>
      <c r="D16" s="10">
        <v>22.382966021874754</v>
      </c>
      <c r="E16" s="10">
        <v>25.02904904487337</v>
      </c>
      <c r="F16" s="10">
        <v>25.537241037874765</v>
      </c>
    </row>
    <row r="17">
      <c r="A17" s="9" t="s">
        <v>9</v>
      </c>
      <c r="B17" s="10">
        <v>21.983378359891553</v>
      </c>
      <c r="C17" s="10">
        <v>21.983378359891553</v>
      </c>
      <c r="D17" s="10">
        <v>19.659285096820536</v>
      </c>
      <c r="E17" s="10">
        <v>21.983378359891553</v>
      </c>
      <c r="F17" s="10">
        <v>22.261845909017826</v>
      </c>
    </row>
    <row r="18">
      <c r="A18" s="7" t="s">
        <v>11</v>
      </c>
      <c r="B18" s="8">
        <v>252.31831342899255</v>
      </c>
      <c r="C18" s="8">
        <v>252.31831342899255</v>
      </c>
      <c r="D18" s="8">
        <v>225.64310078471286</v>
      </c>
      <c r="E18" s="8">
        <v>252.31831342899255</v>
      </c>
      <c r="F18" s="8">
        <v>253.64791800121338</v>
      </c>
    </row>
    <row r="19">
      <c r="A19" s="9" t="s">
        <v>4</v>
      </c>
      <c r="B19" s="10">
        <v>99.7281410186833</v>
      </c>
      <c r="C19" s="10">
        <v>99.7281410186833</v>
      </c>
      <c r="D19" s="10">
        <v>89.18483430368836</v>
      </c>
      <c r="E19" s="10">
        <v>99.7281410186833</v>
      </c>
      <c r="F19" s="10">
        <v>100.21124353059656</v>
      </c>
    </row>
    <row r="20">
      <c r="A20" s="9" t="s">
        <v>5</v>
      </c>
      <c r="B20" s="10">
        <v>0.0</v>
      </c>
      <c r="C20" s="10">
        <v>0.0</v>
      </c>
      <c r="D20" s="10">
        <v>0.0</v>
      </c>
      <c r="E20" s="10">
        <v>0.0</v>
      </c>
      <c r="F20" s="10">
        <v>0.0</v>
      </c>
    </row>
    <row r="21">
      <c r="A21" s="9" t="s">
        <v>6</v>
      </c>
      <c r="B21" s="10">
        <v>99.7281410186833</v>
      </c>
      <c r="C21" s="10">
        <v>99.7281410186833</v>
      </c>
      <c r="D21" s="10">
        <v>89.18483430368836</v>
      </c>
      <c r="E21" s="10">
        <v>99.7281410186833</v>
      </c>
      <c r="F21" s="10">
        <v>100.21124353059656</v>
      </c>
    </row>
    <row r="22">
      <c r="A22" s="9" t="s">
        <v>7</v>
      </c>
      <c r="B22" s="10">
        <v>24.986233334870004</v>
      </c>
      <c r="C22" s="10">
        <v>24.986233334870004</v>
      </c>
      <c r="D22" s="10">
        <v>22.34467680918874</v>
      </c>
      <c r="E22" s="10">
        <v>24.986233334870004</v>
      </c>
      <c r="F22" s="10">
        <v>24.88318680195541</v>
      </c>
    </row>
    <row r="23">
      <c r="A23" s="9" t="s">
        <v>8</v>
      </c>
      <c r="B23" s="10">
        <v>14.840857093390907</v>
      </c>
      <c r="C23" s="10">
        <v>14.840857093390907</v>
      </c>
      <c r="D23" s="10">
        <v>13.271874591052736</v>
      </c>
      <c r="E23" s="10">
        <v>14.840857093390907</v>
      </c>
      <c r="F23" s="10">
        <v>15.142187149144027</v>
      </c>
    </row>
    <row r="24">
      <c r="A24" s="9" t="s">
        <v>9</v>
      </c>
      <c r="B24" s="10">
        <v>13.03494096336505</v>
      </c>
      <c r="C24" s="10">
        <v>13.03494096336505</v>
      </c>
      <c r="D24" s="10">
        <v>11.656880777094637</v>
      </c>
      <c r="E24" s="10">
        <v>13.03494096336505</v>
      </c>
      <c r="F24" s="10">
        <v>13.200056988920814</v>
      </c>
    </row>
    <row r="25">
      <c r="A25" s="7" t="s">
        <v>12</v>
      </c>
      <c r="B25" s="8">
        <v>302.3030561084142</v>
      </c>
      <c r="C25" s="8">
        <v>302.3030561084142</v>
      </c>
      <c r="D25" s="8">
        <v>270.34343258716336</v>
      </c>
      <c r="E25" s="8">
        <v>302.3030561084142</v>
      </c>
      <c r="F25" s="8">
        <v>303.9043759034848</v>
      </c>
    </row>
    <row r="26">
      <c r="A26" s="9" t="s">
        <v>4</v>
      </c>
      <c r="B26" s="10">
        <v>136.25999481167594</v>
      </c>
      <c r="C26" s="10">
        <v>136.25999481167594</v>
      </c>
      <c r="D26" s="10">
        <v>121.85452306008705</v>
      </c>
      <c r="E26" s="10">
        <v>136.25999481167594</v>
      </c>
      <c r="F26" s="10">
        <v>136.92006472869645</v>
      </c>
    </row>
    <row r="27">
      <c r="A27" s="9" t="s">
        <v>5</v>
      </c>
      <c r="B27" s="10">
        <v>0.0</v>
      </c>
      <c r="C27" s="10">
        <v>0.0</v>
      </c>
      <c r="D27" s="10">
        <v>0.0</v>
      </c>
      <c r="E27" s="10">
        <v>0.0</v>
      </c>
      <c r="F27" s="10">
        <v>0.0</v>
      </c>
    </row>
    <row r="28">
      <c r="A28" s="9" t="s">
        <v>6</v>
      </c>
      <c r="B28" s="10">
        <v>98.61201975248746</v>
      </c>
      <c r="C28" s="10">
        <v>98.61201975248746</v>
      </c>
      <c r="D28" s="10">
        <v>88.18670991099715</v>
      </c>
      <c r="E28" s="10">
        <v>98.61201975248746</v>
      </c>
      <c r="F28" s="10">
        <v>99.0897155559051</v>
      </c>
    </row>
    <row r="29">
      <c r="A29" s="9" t="s">
        <v>7</v>
      </c>
      <c r="B29" s="10">
        <v>31.87254998877824</v>
      </c>
      <c r="C29" s="10">
        <v>31.87254998877824</v>
      </c>
      <c r="D29" s="10">
        <v>28.50296877641271</v>
      </c>
      <c r="E29" s="10">
        <v>31.87254998877824</v>
      </c>
      <c r="F29" s="10">
        <v>31.741103374657847</v>
      </c>
    </row>
    <row r="30">
      <c r="A30" s="9" t="s">
        <v>8</v>
      </c>
      <c r="B30" s="10">
        <v>18.931063087659936</v>
      </c>
      <c r="C30" s="10">
        <v>18.931063087659936</v>
      </c>
      <c r="D30" s="10">
        <v>16.929662053455118</v>
      </c>
      <c r="E30" s="10">
        <v>18.931063087659936</v>
      </c>
      <c r="F30" s="10">
        <v>19.315441042367873</v>
      </c>
    </row>
    <row r="31">
      <c r="A31" s="9" t="s">
        <v>9</v>
      </c>
      <c r="B31" s="10">
        <v>16.627428467812603</v>
      </c>
      <c r="C31" s="10">
        <v>16.627428467812603</v>
      </c>
      <c r="D31" s="10">
        <v>14.869568786211364</v>
      </c>
      <c r="E31" s="10">
        <v>16.627428467812603</v>
      </c>
      <c r="F31" s="10">
        <v>16.838051201857517</v>
      </c>
    </row>
    <row r="32">
      <c r="A32" s="7" t="s">
        <v>13</v>
      </c>
      <c r="B32" s="8">
        <v>236.242928213876</v>
      </c>
      <c r="C32" s="8">
        <v>236.242928213876</v>
      </c>
      <c r="D32" s="8">
        <v>211.26721297477624</v>
      </c>
      <c r="E32" s="8">
        <v>236.242928213876</v>
      </c>
      <c r="F32" s="8">
        <v>237.47006968635574</v>
      </c>
    </row>
    <row r="33">
      <c r="A33" s="9" t="s">
        <v>4</v>
      </c>
      <c r="B33" s="10">
        <v>97.74641352477346</v>
      </c>
      <c r="C33" s="10">
        <v>97.74641352477346</v>
      </c>
      <c r="D33" s="10">
        <v>87.41261598723243</v>
      </c>
      <c r="E33" s="10">
        <v>97.74641352477346</v>
      </c>
      <c r="F33" s="10">
        <v>98.21991616326629</v>
      </c>
    </row>
    <row r="34">
      <c r="A34" s="9" t="s">
        <v>5</v>
      </c>
      <c r="B34" s="10">
        <v>0.0</v>
      </c>
      <c r="C34" s="10">
        <v>0.0</v>
      </c>
      <c r="D34" s="10">
        <v>0.0</v>
      </c>
      <c r="E34" s="10">
        <v>0.0</v>
      </c>
      <c r="F34" s="10">
        <v>0.0</v>
      </c>
    </row>
    <row r="35">
      <c r="A35" s="9" t="s">
        <v>6</v>
      </c>
      <c r="B35" s="10">
        <v>97.74641352477346</v>
      </c>
      <c r="C35" s="10">
        <v>97.74641352477346</v>
      </c>
      <c r="D35" s="10">
        <v>87.41261598723243</v>
      </c>
      <c r="E35" s="10">
        <v>97.74641352477346</v>
      </c>
      <c r="F35" s="10">
        <v>98.21991616326629</v>
      </c>
    </row>
    <row r="36">
      <c r="A36" s="9" t="s">
        <v>7</v>
      </c>
      <c r="B36" s="10">
        <v>19.261301718964578</v>
      </c>
      <c r="C36" s="10">
        <v>19.261301718964578</v>
      </c>
      <c r="D36" s="10">
        <v>17.224987698882156</v>
      </c>
      <c r="E36" s="10">
        <v>19.261301718964578</v>
      </c>
      <c r="F36" s="10">
        <v>19.181865561663056</v>
      </c>
    </row>
    <row r="37">
      <c r="A37" s="9" t="s">
        <v>8</v>
      </c>
      <c r="B37" s="10">
        <v>11.440468933943267</v>
      </c>
      <c r="C37" s="10">
        <v>11.440468933943267</v>
      </c>
      <c r="D37" s="10">
        <v>10.230977092404405</v>
      </c>
      <c r="E37" s="10">
        <v>11.440468933943267</v>
      </c>
      <c r="F37" s="10">
        <v>11.672757212174998</v>
      </c>
    </row>
    <row r="38">
      <c r="A38" s="9" t="s">
        <v>9</v>
      </c>
      <c r="B38" s="10">
        <v>10.048330511421252</v>
      </c>
      <c r="C38" s="10">
        <v>10.048330511421252</v>
      </c>
      <c r="D38" s="10">
        <v>8.986016209024816</v>
      </c>
      <c r="E38" s="10">
        <v>10.048330511421252</v>
      </c>
      <c r="F38" s="10">
        <v>10.17561458598512</v>
      </c>
    </row>
    <row r="39">
      <c r="A39" s="7" t="s">
        <v>14</v>
      </c>
      <c r="B39" s="8">
        <v>57.73735441157245</v>
      </c>
      <c r="C39" s="8">
        <v>58.02435789273775</v>
      </c>
      <c r="D39" s="8">
        <v>51.524317920960456</v>
      </c>
      <c r="E39" s="8">
        <v>58.02435789273775</v>
      </c>
      <c r="F39" s="8">
        <v>59.09967676217369</v>
      </c>
    </row>
    <row r="40">
      <c r="A40" s="9" t="s">
        <v>4</v>
      </c>
      <c r="B40" s="10">
        <v>23.45178114591365</v>
      </c>
      <c r="C40" s="10">
        <v>23.45178114591365</v>
      </c>
      <c r="D40" s="10">
        <v>20.972447638754616</v>
      </c>
      <c r="E40" s="10">
        <v>23.45178114591365</v>
      </c>
      <c r="F40" s="10">
        <v>24.0</v>
      </c>
    </row>
    <row r="41">
      <c r="A41" s="9" t="s">
        <v>5</v>
      </c>
      <c r="B41" s="10">
        <v>0.0</v>
      </c>
      <c r="C41" s="10">
        <v>0.0</v>
      </c>
      <c r="D41" s="10">
        <v>0.0</v>
      </c>
      <c r="E41" s="10">
        <v>0.0</v>
      </c>
      <c r="F41" s="10">
        <v>0.0</v>
      </c>
    </row>
    <row r="42">
      <c r="A42" s="9" t="s">
        <v>6</v>
      </c>
      <c r="B42" s="10">
        <v>23.45178114591365</v>
      </c>
      <c r="C42" s="10">
        <v>23.45178114591365</v>
      </c>
      <c r="D42" s="10">
        <v>20.972447638754616</v>
      </c>
      <c r="E42" s="10">
        <v>23.45178114591365</v>
      </c>
      <c r="F42" s="10">
        <v>24.0</v>
      </c>
    </row>
    <row r="43">
      <c r="A43" s="9" t="s">
        <v>7</v>
      </c>
      <c r="B43" s="10">
        <v>5.120795600910449</v>
      </c>
      <c r="C43" s="10">
        <v>5.120795600910449</v>
      </c>
      <c r="D43" s="10">
        <v>4.579422643451222</v>
      </c>
      <c r="E43" s="10">
        <v>5.120795600910449</v>
      </c>
      <c r="F43" s="10">
        <v>5.09967676217369</v>
      </c>
      <c r="I43" s="11"/>
    </row>
    <row r="44">
      <c r="A44" s="9" t="s">
        <v>8</v>
      </c>
      <c r="B44" s="10">
        <v>3.0415547113104786</v>
      </c>
      <c r="C44" s="10">
        <v>3.0</v>
      </c>
      <c r="D44" s="10">
        <v>3.0</v>
      </c>
      <c r="E44" s="10">
        <v>3.0</v>
      </c>
      <c r="F44" s="10">
        <v>3.0</v>
      </c>
      <c r="I44" s="11"/>
    </row>
    <row r="45">
      <c r="A45" s="12" t="s">
        <v>9</v>
      </c>
      <c r="B45" s="13">
        <v>2.671441807524224</v>
      </c>
      <c r="C45" s="13">
        <v>3.0</v>
      </c>
      <c r="D45" s="13">
        <v>2.0</v>
      </c>
      <c r="E45" s="13">
        <v>3.0</v>
      </c>
      <c r="F45" s="13">
        <v>3.0</v>
      </c>
    </row>
    <row r="46">
      <c r="A46" s="9" t="s">
        <v>15</v>
      </c>
      <c r="B46" s="10">
        <v>12.791880625043808</v>
      </c>
      <c r="C46" s="10">
        <v>12.791880625043808</v>
      </c>
      <c r="D46" s="10">
        <v>11.439516893866154</v>
      </c>
      <c r="E46" s="10">
        <v>12.791880625043808</v>
      </c>
      <c r="F46" s="10">
        <v>13.09090909090909</v>
      </c>
    </row>
    <row r="47">
      <c r="A47" s="9" t="s">
        <v>16</v>
      </c>
      <c r="B47" s="10">
        <v>8.52792041669587</v>
      </c>
      <c r="C47" s="10">
        <v>8.52792041669587</v>
      </c>
      <c r="D47" s="10">
        <v>7.626344595910768</v>
      </c>
      <c r="E47" s="10">
        <v>8.52792041669587</v>
      </c>
      <c r="F47" s="10">
        <v>8.727272727272727</v>
      </c>
    </row>
    <row r="48">
      <c r="A48" s="9" t="s">
        <v>17</v>
      </c>
      <c r="B48" s="10">
        <v>2.1319801041739677</v>
      </c>
      <c r="C48" s="10">
        <v>2.1319801041739677</v>
      </c>
      <c r="D48" s="10">
        <v>1.906586148977692</v>
      </c>
      <c r="E48" s="10">
        <v>2.1319801041739677</v>
      </c>
      <c r="F48" s="10">
        <v>2.1818181818181817</v>
      </c>
    </row>
    <row r="49">
      <c r="A49" s="9" t="s">
        <v>18</v>
      </c>
      <c r="B49" s="10">
        <v>0.0</v>
      </c>
      <c r="C49" s="10">
        <v>0.0</v>
      </c>
      <c r="D49" s="10">
        <v>0.0</v>
      </c>
      <c r="E49" s="10">
        <v>0.0</v>
      </c>
      <c r="F49" s="10">
        <v>0.0</v>
      </c>
    </row>
    <row r="50">
      <c r="A50" s="9" t="s">
        <v>19</v>
      </c>
      <c r="B50" s="10">
        <v>0.0</v>
      </c>
      <c r="C50" s="10">
        <v>0.0</v>
      </c>
      <c r="D50" s="10">
        <v>0.0</v>
      </c>
      <c r="E50" s="10">
        <v>0.0</v>
      </c>
      <c r="F50" s="10">
        <v>0.0</v>
      </c>
    </row>
    <row r="51">
      <c r="A51" s="9" t="s">
        <v>20</v>
      </c>
      <c r="B51" s="10">
        <v>0.0</v>
      </c>
      <c r="C51" s="10">
        <v>0.0</v>
      </c>
      <c r="D51" s="10">
        <v>0.0</v>
      </c>
      <c r="E51" s="10">
        <v>0.0</v>
      </c>
      <c r="F51" s="10">
        <v>0.0</v>
      </c>
    </row>
    <row r="52">
      <c r="A52" s="9" t="s">
        <v>21</v>
      </c>
      <c r="B52" s="10">
        <v>12.791880625043808</v>
      </c>
      <c r="C52" s="10">
        <v>12.791880625043808</v>
      </c>
      <c r="D52" s="10">
        <v>11.439516893866154</v>
      </c>
      <c r="E52" s="10">
        <v>12.791880625043808</v>
      </c>
      <c r="F52" s="10">
        <v>13.09090909090909</v>
      </c>
    </row>
    <row r="53">
      <c r="A53" s="9" t="s">
        <v>22</v>
      </c>
      <c r="B53" s="10">
        <v>8.52792041669587</v>
      </c>
      <c r="C53" s="10">
        <v>8.52792041669587</v>
      </c>
      <c r="D53" s="10">
        <v>7.626344595910768</v>
      </c>
      <c r="E53" s="10">
        <v>8.52792041669587</v>
      </c>
      <c r="F53" s="10">
        <v>8.727272727272727</v>
      </c>
    </row>
    <row r="54">
      <c r="A54" s="9" t="s">
        <v>23</v>
      </c>
      <c r="B54" s="10">
        <v>2.1319801041739677</v>
      </c>
      <c r="C54" s="10">
        <v>2.1319801041739677</v>
      </c>
      <c r="D54" s="10">
        <v>1.906586148977692</v>
      </c>
      <c r="E54" s="10">
        <v>2.1319801041739677</v>
      </c>
      <c r="F54" s="10">
        <v>2.1818181818181817</v>
      </c>
    </row>
    <row r="55">
      <c r="A55" s="9" t="s">
        <v>24</v>
      </c>
      <c r="B55" s="10">
        <v>1.9357110903481516</v>
      </c>
      <c r="C55" s="10">
        <v>1.9357110903481516</v>
      </c>
      <c r="D55" s="10">
        <v>1.7310667890637799</v>
      </c>
      <c r="E55" s="10">
        <v>1.9357110903481516</v>
      </c>
      <c r="F55" s="10">
        <v>1.92772796164238</v>
      </c>
    </row>
    <row r="56">
      <c r="A56" s="9" t="s">
        <v>25</v>
      </c>
      <c r="B56" s="10">
        <v>2.868119081880524</v>
      </c>
      <c r="C56" s="10">
        <v>2.868119081880524</v>
      </c>
      <c r="D56" s="10">
        <v>2.564900162260527</v>
      </c>
      <c r="E56" s="10">
        <v>2.868119081880524</v>
      </c>
      <c r="F56" s="10">
        <v>2.8562905792241624</v>
      </c>
    </row>
    <row r="57">
      <c r="A57" s="9" t="s">
        <v>26</v>
      </c>
      <c r="B57" s="10">
        <v>0.31696542868177313</v>
      </c>
      <c r="C57" s="10">
        <v>0.31696542868177313</v>
      </c>
      <c r="D57" s="10">
        <v>0.28345569212691546</v>
      </c>
      <c r="E57" s="10">
        <v>0.31696542868177313</v>
      </c>
      <c r="F57" s="10">
        <v>0.31565822130714805</v>
      </c>
    </row>
    <row r="58">
      <c r="A58" s="9" t="s">
        <v>27</v>
      </c>
      <c r="B58" s="10">
        <v>1.1497375887328105</v>
      </c>
      <c r="C58" s="10">
        <v>1.1497375887328105</v>
      </c>
      <c r="D58" s="10">
        <v>1.0281867815489314</v>
      </c>
      <c r="E58" s="10">
        <v>1.1497375887328105</v>
      </c>
      <c r="F58" s="10">
        <v>1.1730819609300602</v>
      </c>
    </row>
    <row r="59">
      <c r="A59" s="9" t="s">
        <v>28</v>
      </c>
      <c r="B59" s="10">
        <v>1.7035519059855067</v>
      </c>
      <c r="C59" s="10">
        <v>1.7035519059855067</v>
      </c>
      <c r="D59" s="10">
        <v>1.5234515845892174</v>
      </c>
      <c r="E59" s="10">
        <v>1.7035519059855067</v>
      </c>
      <c r="F59" s="10">
        <v>1.7381409723432408</v>
      </c>
    </row>
    <row r="60">
      <c r="A60" s="9" t="s">
        <v>29</v>
      </c>
      <c r="B60" s="10">
        <v>0.1882652165921613</v>
      </c>
      <c r="C60" s="10">
        <v>0.1882652165921613</v>
      </c>
      <c r="D60" s="10">
        <v>0.16836172794772505</v>
      </c>
      <c r="E60" s="10">
        <v>0.1882652165921613</v>
      </c>
      <c r="F60" s="10">
        <v>0.19208776995650523</v>
      </c>
    </row>
    <row r="61">
      <c r="A61" s="9" t="s">
        <v>30</v>
      </c>
      <c r="B61" s="10">
        <v>1.0098312717510056</v>
      </c>
      <c r="C61" s="10">
        <v>1.0098312717510056</v>
      </c>
      <c r="D61" s="10">
        <v>0.903071427240622</v>
      </c>
      <c r="E61" s="10">
        <v>1.0098312717510056</v>
      </c>
      <c r="F61" s="10">
        <v>1.0226229925989994</v>
      </c>
    </row>
    <row r="62">
      <c r="A62" s="9" t="s">
        <v>31</v>
      </c>
      <c r="B62" s="10">
        <v>1.7035519059855067</v>
      </c>
      <c r="C62" s="10">
        <v>1.7035519059855067</v>
      </c>
      <c r="D62" s="10">
        <v>1.5234515845892174</v>
      </c>
      <c r="E62" s="10">
        <v>1.7035519059855067</v>
      </c>
      <c r="F62" s="10">
        <v>1.7381409723432408</v>
      </c>
    </row>
    <row r="63">
      <c r="A63" s="9" t="s">
        <v>32</v>
      </c>
      <c r="B63" s="10">
        <v>0.16535608208415473</v>
      </c>
      <c r="C63" s="10">
        <v>0.16535608208415473</v>
      </c>
      <c r="D63" s="10">
        <v>0.14787455808506098</v>
      </c>
      <c r="E63" s="10">
        <v>0.16535608208415473</v>
      </c>
      <c r="F63" s="10">
        <v>0.1674506783812875</v>
      </c>
    </row>
    <row r="64">
      <c r="A64" s="9" t="s">
        <v>33</v>
      </c>
      <c r="B64" s="10">
        <v>29.679041200919585</v>
      </c>
      <c r="C64" s="10">
        <v>29.679041200919585</v>
      </c>
      <c r="D64" s="10">
        <v>26.54135878558564</v>
      </c>
      <c r="E64" s="10">
        <v>29.679041200919585</v>
      </c>
      <c r="F64" s="10">
        <v>30.30525109698962</v>
      </c>
    </row>
    <row r="65">
      <c r="A65" s="9" t="s">
        <v>34</v>
      </c>
      <c r="B65" s="10">
        <v>23.331063727243276</v>
      </c>
      <c r="C65" s="10">
        <v>23.331063727243276</v>
      </c>
      <c r="D65" s="10">
        <v>20.8644925232605</v>
      </c>
      <c r="E65" s="10">
        <v>23.331063727243276</v>
      </c>
      <c r="F65" s="10">
        <v>23.7871179784561</v>
      </c>
    </row>
    <row r="66">
      <c r="A66" s="9" t="s">
        <v>35</v>
      </c>
      <c r="B66" s="10">
        <v>4.934546935706025</v>
      </c>
      <c r="C66" s="10">
        <v>4.934546935706025</v>
      </c>
      <c r="D66" s="10">
        <v>4.412864276115085</v>
      </c>
      <c r="E66" s="10">
        <v>4.934546935706025</v>
      </c>
      <c r="F66" s="10">
        <v>5.038833033281304</v>
      </c>
    </row>
    <row r="67">
      <c r="A67" s="14"/>
      <c r="F67" s="11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5" t="s">
        <v>0</v>
      </c>
      <c r="C1" s="3"/>
      <c r="D1" s="3"/>
      <c r="E1" s="3"/>
      <c r="F1" s="3"/>
    </row>
    <row r="2">
      <c r="A2" s="4" t="s">
        <v>1</v>
      </c>
      <c r="B2" s="5">
        <v>6.0</v>
      </c>
      <c r="C2" s="5">
        <v>6.0</v>
      </c>
      <c r="D2" s="5">
        <v>6.0</v>
      </c>
      <c r="E2" s="5">
        <v>6.0</v>
      </c>
      <c r="F2" s="5">
        <v>6.0</v>
      </c>
    </row>
    <row r="3">
      <c r="A3" s="6" t="s">
        <v>2</v>
      </c>
      <c r="B3" s="5">
        <v>1.0</v>
      </c>
      <c r="C3" s="5">
        <v>2.0</v>
      </c>
      <c r="D3" s="5">
        <v>3.0</v>
      </c>
      <c r="E3" s="5">
        <v>4.0</v>
      </c>
      <c r="F3" s="5">
        <v>5.0</v>
      </c>
    </row>
    <row r="4">
      <c r="A4" s="7" t="s">
        <v>3</v>
      </c>
      <c r="B4" s="8">
        <v>1389.2128803712146</v>
      </c>
      <c r="C4" s="8">
        <v>1389.2128803712146</v>
      </c>
      <c r="D4" s="8">
        <v>1242.344630942688</v>
      </c>
      <c r="E4" s="8">
        <v>1389.2128803712146</v>
      </c>
      <c r="F4" s="8">
        <v>1396.6204807481374</v>
      </c>
    </row>
    <row r="5">
      <c r="A5" s="9" t="s">
        <v>4</v>
      </c>
      <c r="B5" s="10">
        <v>527.6399274140759</v>
      </c>
      <c r="C5" s="10">
        <v>527.6399274140759</v>
      </c>
      <c r="D5" s="10">
        <v>471.85758220058136</v>
      </c>
      <c r="E5" s="10">
        <v>527.6399274140759</v>
      </c>
      <c r="F5" s="10">
        <v>530.1959178468238</v>
      </c>
    </row>
    <row r="6">
      <c r="A6" s="9" t="s">
        <v>5</v>
      </c>
      <c r="B6" s="10">
        <v>0.0</v>
      </c>
      <c r="C6" s="10">
        <v>0.0</v>
      </c>
      <c r="D6" s="10">
        <v>0.0</v>
      </c>
      <c r="E6" s="10">
        <v>0.0</v>
      </c>
      <c r="F6" s="10">
        <v>0.0</v>
      </c>
    </row>
    <row r="7">
      <c r="A7" s="9" t="s">
        <v>6</v>
      </c>
      <c r="B7" s="10">
        <v>527.6399274140759</v>
      </c>
      <c r="C7" s="10">
        <v>527.6399274140759</v>
      </c>
      <c r="D7" s="10">
        <v>471.85758220058136</v>
      </c>
      <c r="E7" s="10">
        <v>527.6399274140759</v>
      </c>
      <c r="F7" s="10">
        <v>530.1959178468238</v>
      </c>
    </row>
    <row r="8">
      <c r="A8" s="9" t="s">
        <v>7</v>
      </c>
      <c r="B8" s="10">
        <v>157.83972493648488</v>
      </c>
      <c r="C8" s="10">
        <v>157.83972493648488</v>
      </c>
      <c r="D8" s="10">
        <v>141.15283380608648</v>
      </c>
      <c r="E8" s="10">
        <v>157.83972493648488</v>
      </c>
      <c r="F8" s="10">
        <v>157.18877302256837</v>
      </c>
    </row>
    <row r="9">
      <c r="A9" s="9" t="s">
        <v>8</v>
      </c>
      <c r="B9" s="10">
        <v>93.75069743599227</v>
      </c>
      <c r="C9" s="10">
        <v>93.75069743599227</v>
      </c>
      <c r="D9" s="10">
        <v>83.83932891236587</v>
      </c>
      <c r="E9" s="10">
        <v>93.75069743599227</v>
      </c>
      <c r="F9" s="10">
        <v>95.6542197667788</v>
      </c>
    </row>
    <row r="10">
      <c r="A10" s="9" t="s">
        <v>9</v>
      </c>
      <c r="B10" s="10">
        <v>82.34260317058562</v>
      </c>
      <c r="C10" s="10">
        <v>82.34260317058562</v>
      </c>
      <c r="D10" s="10">
        <v>73.63730382307294</v>
      </c>
      <c r="E10" s="10">
        <v>82.34260317058562</v>
      </c>
      <c r="F10" s="10">
        <v>83.38565226514268</v>
      </c>
    </row>
    <row r="11">
      <c r="A11" s="7" t="s">
        <v>10</v>
      </c>
      <c r="B11" s="8">
        <v>442.9472534694821</v>
      </c>
      <c r="C11" s="8">
        <v>442.9472534694821</v>
      </c>
      <c r="D11" s="8">
        <v>396.1186582085072</v>
      </c>
      <c r="E11" s="8">
        <v>442.9472534694821</v>
      </c>
      <c r="F11" s="8">
        <v>445.30306812914193</v>
      </c>
    </row>
    <row r="12">
      <c r="A12" s="9" t="s">
        <v>4</v>
      </c>
      <c r="B12" s="10">
        <v>169.73437769012446</v>
      </c>
      <c r="C12" s="10">
        <v>169.73437769012446</v>
      </c>
      <c r="D12" s="10">
        <v>151.78997818777623</v>
      </c>
      <c r="E12" s="10">
        <v>169.73437769012446</v>
      </c>
      <c r="F12" s="10">
        <v>170.55660402847337</v>
      </c>
    </row>
    <row r="13">
      <c r="A13" s="9" t="s">
        <v>5</v>
      </c>
      <c r="B13" s="10">
        <v>0.0</v>
      </c>
      <c r="C13" s="10">
        <v>0.0</v>
      </c>
      <c r="D13" s="10">
        <v>0.0</v>
      </c>
      <c r="E13" s="10">
        <v>0.0</v>
      </c>
      <c r="F13" s="10">
        <v>0.0</v>
      </c>
    </row>
    <row r="14">
      <c r="A14" s="9" t="s">
        <v>6</v>
      </c>
      <c r="B14" s="10">
        <v>169.73437769012446</v>
      </c>
      <c r="C14" s="10">
        <v>169.73437769012446</v>
      </c>
      <c r="D14" s="10">
        <v>151.78997818777623</v>
      </c>
      <c r="E14" s="10">
        <v>169.73437769012446</v>
      </c>
      <c r="F14" s="10">
        <v>170.55660402847337</v>
      </c>
    </row>
    <row r="15">
      <c r="A15" s="9" t="s">
        <v>7</v>
      </c>
      <c r="B15" s="10">
        <v>48.911058283868066</v>
      </c>
      <c r="C15" s="10">
        <v>48.911058283868066</v>
      </c>
      <c r="D15" s="10">
        <v>43.74015783416247</v>
      </c>
      <c r="E15" s="10">
        <v>48.911058283868066</v>
      </c>
      <c r="F15" s="10">
        <v>48.70934260668744</v>
      </c>
    </row>
    <row r="16">
      <c r="A16" s="9" t="s">
        <v>8</v>
      </c>
      <c r="B16" s="10">
        <v>29.051278620070413</v>
      </c>
      <c r="C16" s="10">
        <v>29.051278620070413</v>
      </c>
      <c r="D16" s="10">
        <v>25.979963564706114</v>
      </c>
      <c r="E16" s="10">
        <v>29.051278620070413</v>
      </c>
      <c r="F16" s="10">
        <v>29.64113831288988</v>
      </c>
    </row>
    <row r="17">
      <c r="A17" s="9" t="s">
        <v>9</v>
      </c>
      <c r="B17" s="10">
        <v>25.516161185294727</v>
      </c>
      <c r="C17" s="10">
        <v>25.516161185294727</v>
      </c>
      <c r="D17" s="10">
        <v>22.818580434086197</v>
      </c>
      <c r="E17" s="10">
        <v>25.516161185294727</v>
      </c>
      <c r="F17" s="10">
        <v>25.839379152617884</v>
      </c>
    </row>
    <row r="18">
      <c r="A18" s="7" t="s">
        <v>11</v>
      </c>
      <c r="B18" s="8">
        <v>279.1996266304812</v>
      </c>
      <c r="C18" s="8">
        <v>279.1996266304812</v>
      </c>
      <c r="D18" s="8">
        <v>249.6825087116207</v>
      </c>
      <c r="E18" s="8">
        <v>279.1996266304812</v>
      </c>
      <c r="F18" s="8">
        <v>280.6816301148184</v>
      </c>
    </row>
    <row r="19">
      <c r="A19" s="9" t="s">
        <v>4</v>
      </c>
      <c r="B19" s="10">
        <v>107.70639230017798</v>
      </c>
      <c r="C19" s="10">
        <v>107.70639230017798</v>
      </c>
      <c r="D19" s="10">
        <v>96.31962104798346</v>
      </c>
      <c r="E19" s="10">
        <v>107.70639230017798</v>
      </c>
      <c r="F19" s="10">
        <v>108.22814301304433</v>
      </c>
    </row>
    <row r="20">
      <c r="A20" s="9" t="s">
        <v>5</v>
      </c>
      <c r="B20" s="10">
        <v>0.0</v>
      </c>
      <c r="C20" s="10">
        <v>0.0</v>
      </c>
      <c r="D20" s="10">
        <v>0.0</v>
      </c>
      <c r="E20" s="10">
        <v>0.0</v>
      </c>
      <c r="F20" s="10">
        <v>0.0</v>
      </c>
    </row>
    <row r="21">
      <c r="A21" s="9" t="s">
        <v>6</v>
      </c>
      <c r="B21" s="10">
        <v>107.70639230017798</v>
      </c>
      <c r="C21" s="10">
        <v>107.70639230017798</v>
      </c>
      <c r="D21" s="10">
        <v>96.31962104798346</v>
      </c>
      <c r="E21" s="10">
        <v>107.70639230017798</v>
      </c>
      <c r="F21" s="10">
        <v>108.22814301304433</v>
      </c>
    </row>
    <row r="22">
      <c r="A22" s="9" t="s">
        <v>7</v>
      </c>
      <c r="B22" s="10">
        <v>30.150050550491713</v>
      </c>
      <c r="C22" s="10">
        <v>30.150050550491713</v>
      </c>
      <c r="D22" s="10">
        <v>26.962572801689777</v>
      </c>
      <c r="E22" s="10">
        <v>30.150050550491713</v>
      </c>
      <c r="F22" s="10">
        <v>30.02570775200787</v>
      </c>
    </row>
    <row r="23">
      <c r="A23" s="9" t="s">
        <v>8</v>
      </c>
      <c r="B23" s="10">
        <v>17.907964981416736</v>
      </c>
      <c r="C23" s="10">
        <v>17.907964981416736</v>
      </c>
      <c r="D23" s="10">
        <v>16.014726367803224</v>
      </c>
      <c r="E23" s="10">
        <v>17.907964981416736</v>
      </c>
      <c r="F23" s="10">
        <v>18.271569863016076</v>
      </c>
    </row>
    <row r="24">
      <c r="A24" s="9" t="s">
        <v>9</v>
      </c>
      <c r="B24" s="10">
        <v>15.728826498216806</v>
      </c>
      <c r="C24" s="10">
        <v>15.728826498216806</v>
      </c>
      <c r="D24" s="10">
        <v>14.065967446160766</v>
      </c>
      <c r="E24" s="10">
        <v>15.728826498216806</v>
      </c>
      <c r="F24" s="10">
        <v>15.928066473705835</v>
      </c>
    </row>
    <row r="25">
      <c r="A25" s="7" t="s">
        <v>12</v>
      </c>
      <c r="B25" s="8">
        <v>335.0807520834963</v>
      </c>
      <c r="C25" s="8">
        <v>335.0807520834963</v>
      </c>
      <c r="D25" s="8">
        <v>299.65585488376195</v>
      </c>
      <c r="E25" s="8">
        <v>335.0807520834963</v>
      </c>
      <c r="F25" s="8">
        <v>336.86925306534374</v>
      </c>
    </row>
    <row r="26">
      <c r="A26" s="9" t="s">
        <v>4</v>
      </c>
      <c r="B26" s="10">
        <v>147.16079439661004</v>
      </c>
      <c r="C26" s="10">
        <v>147.16079439661004</v>
      </c>
      <c r="D26" s="10">
        <v>131.60288490489404</v>
      </c>
      <c r="E26" s="10">
        <v>147.16079439661004</v>
      </c>
      <c r="F26" s="10">
        <v>147.8736699069922</v>
      </c>
    </row>
    <row r="27">
      <c r="A27" s="9" t="s">
        <v>5</v>
      </c>
      <c r="B27" s="10">
        <v>0.0</v>
      </c>
      <c r="C27" s="10">
        <v>0.0</v>
      </c>
      <c r="D27" s="10">
        <v>0.0</v>
      </c>
      <c r="E27" s="10">
        <v>0.0</v>
      </c>
      <c r="F27" s="10">
        <v>0.0</v>
      </c>
    </row>
    <row r="28">
      <c r="A28" s="9" t="s">
        <v>6</v>
      </c>
      <c r="B28" s="10">
        <v>106.50098133268646</v>
      </c>
      <c r="C28" s="10">
        <v>106.50098133268646</v>
      </c>
      <c r="D28" s="10">
        <v>95.24164670387694</v>
      </c>
      <c r="E28" s="10">
        <v>106.50098133268646</v>
      </c>
      <c r="F28" s="10">
        <v>107.01689280037755</v>
      </c>
    </row>
    <row r="29">
      <c r="A29" s="9" t="s">
        <v>7</v>
      </c>
      <c r="B29" s="10">
        <v>38.484210453451624</v>
      </c>
      <c r="C29" s="10">
        <v>38.484210453451624</v>
      </c>
      <c r="D29" s="10">
        <v>34.41564133794853</v>
      </c>
      <c r="E29" s="10">
        <v>38.484210453451624</v>
      </c>
      <c r="F29" s="10">
        <v>38.32549647659744</v>
      </c>
    </row>
    <row r="30">
      <c r="A30" s="9" t="s">
        <v>8</v>
      </c>
      <c r="B30" s="10">
        <v>22.85813391867245</v>
      </c>
      <c r="C30" s="10">
        <v>22.85813391867245</v>
      </c>
      <c r="D30" s="10">
        <v>20.441561080000543</v>
      </c>
      <c r="E30" s="10">
        <v>22.85813391867245</v>
      </c>
      <c r="F30" s="10">
        <v>23.32224746176378</v>
      </c>
    </row>
    <row r="31">
      <c r="A31" s="9" t="s">
        <v>9</v>
      </c>
      <c r="B31" s="10">
        <v>20.076631982075742</v>
      </c>
      <c r="C31" s="10">
        <v>20.076631982075742</v>
      </c>
      <c r="D31" s="10">
        <v>17.954120857041882</v>
      </c>
      <c r="E31" s="10">
        <v>20.076631982075742</v>
      </c>
      <c r="F31" s="10">
        <v>20.330946419612737</v>
      </c>
    </row>
    <row r="32">
      <c r="A32" s="7" t="s">
        <v>13</v>
      </c>
      <c r="B32" s="8">
        <v>266.0231267154509</v>
      </c>
      <c r="C32" s="8">
        <v>266.0231267154509</v>
      </c>
      <c r="D32" s="8">
        <v>237.8990346628627</v>
      </c>
      <c r="E32" s="8">
        <v>266.0231267154509</v>
      </c>
      <c r="F32" s="8">
        <v>267.4232392194089</v>
      </c>
    </row>
    <row r="33">
      <c r="A33" s="9" t="s">
        <v>4</v>
      </c>
      <c r="B33" s="10">
        <v>105.56612660675535</v>
      </c>
      <c r="C33" s="10">
        <v>105.56612660675535</v>
      </c>
      <c r="D33" s="10">
        <v>94.40562526621105</v>
      </c>
      <c r="E33" s="10">
        <v>105.56612660675535</v>
      </c>
      <c r="F33" s="10">
        <v>106.07750945632765</v>
      </c>
    </row>
    <row r="34">
      <c r="A34" s="9" t="s">
        <v>5</v>
      </c>
      <c r="B34" s="10">
        <v>0.0</v>
      </c>
      <c r="C34" s="10">
        <v>0.0</v>
      </c>
      <c r="D34" s="10">
        <v>0.0</v>
      </c>
      <c r="E34" s="10">
        <v>0.0</v>
      </c>
      <c r="F34" s="10">
        <v>0.0</v>
      </c>
    </row>
    <row r="35">
      <c r="A35" s="9" t="s">
        <v>6</v>
      </c>
      <c r="B35" s="10">
        <v>105.56612660675535</v>
      </c>
      <c r="C35" s="10">
        <v>105.56612660675535</v>
      </c>
      <c r="D35" s="10">
        <v>94.40562526621105</v>
      </c>
      <c r="E35" s="10">
        <v>105.56612660675535</v>
      </c>
      <c r="F35" s="10">
        <v>106.07750945632765</v>
      </c>
    </row>
    <row r="36">
      <c r="A36" s="9" t="s">
        <v>7</v>
      </c>
      <c r="B36" s="10">
        <v>25.945203715564713</v>
      </c>
      <c r="C36" s="10">
        <v>25.945203715564713</v>
      </c>
      <c r="D36" s="10">
        <v>23.202264383075036</v>
      </c>
      <c r="E36" s="10">
        <v>25.945203715564713</v>
      </c>
      <c r="F36" s="10">
        <v>25.838202261891396</v>
      </c>
    </row>
    <row r="37">
      <c r="A37" s="9" t="s">
        <v>8</v>
      </c>
      <c r="B37" s="10">
        <v>15.410448443393364</v>
      </c>
      <c r="C37" s="10">
        <v>15.410448443393364</v>
      </c>
      <c r="D37" s="10">
        <v>13.781248471402778</v>
      </c>
      <c r="E37" s="10">
        <v>15.410448443393364</v>
      </c>
      <c r="F37" s="10">
        <v>15.723343531554828</v>
      </c>
    </row>
    <row r="38">
      <c r="A38" s="9" t="s">
        <v>9</v>
      </c>
      <c r="B38" s="10">
        <v>13.535221342982194</v>
      </c>
      <c r="C38" s="10">
        <v>13.535221342982194</v>
      </c>
      <c r="D38" s="10">
        <v>12.104271275962779</v>
      </c>
      <c r="E38" s="10">
        <v>13.535221342982194</v>
      </c>
      <c r="F38" s="10">
        <v>13.706674513307394</v>
      </c>
    </row>
    <row r="39">
      <c r="A39" s="7" t="s">
        <v>14</v>
      </c>
      <c r="B39" s="8">
        <f t="shared" ref="B39:F39" si="1">SUM(B40:B45)</f>
        <v>65.15048319</v>
      </c>
      <c r="C39" s="8">
        <f t="shared" si="1"/>
        <v>65</v>
      </c>
      <c r="D39" s="8">
        <f t="shared" si="1"/>
        <v>59</v>
      </c>
      <c r="E39" s="8">
        <f t="shared" si="1"/>
        <v>65</v>
      </c>
      <c r="F39" s="8">
        <f t="shared" si="1"/>
        <v>65.85950718</v>
      </c>
    </row>
    <row r="40">
      <c r="A40" s="9" t="s">
        <v>4</v>
      </c>
      <c r="B40" s="10">
        <v>25.0</v>
      </c>
      <c r="C40" s="10">
        <v>25.0</v>
      </c>
      <c r="D40" s="10">
        <v>23.0</v>
      </c>
      <c r="E40" s="10">
        <v>25.0</v>
      </c>
      <c r="F40" s="10">
        <v>25.0</v>
      </c>
    </row>
    <row r="41">
      <c r="A41" s="9" t="s">
        <v>5</v>
      </c>
      <c r="B41" s="10">
        <v>0.0</v>
      </c>
      <c r="C41" s="10">
        <v>0.0</v>
      </c>
      <c r="D41" s="10">
        <v>0.0</v>
      </c>
      <c r="E41" s="10">
        <v>0.0</v>
      </c>
      <c r="F41" s="10">
        <v>0.0</v>
      </c>
    </row>
    <row r="42">
      <c r="A42" s="9" t="s">
        <v>6</v>
      </c>
      <c r="B42" s="10">
        <v>25.0</v>
      </c>
      <c r="C42" s="10">
        <v>25.0</v>
      </c>
      <c r="D42" s="10">
        <v>23.0</v>
      </c>
      <c r="E42" s="10">
        <v>25.0</v>
      </c>
      <c r="F42" s="10">
        <v>25.0</v>
      </c>
    </row>
    <row r="43">
      <c r="A43" s="9" t="s">
        <v>7</v>
      </c>
      <c r="B43" s="10">
        <v>7.0</v>
      </c>
      <c r="C43" s="10">
        <v>7.0</v>
      </c>
      <c r="D43" s="16">
        <v>6.0</v>
      </c>
      <c r="E43" s="10">
        <v>7.0</v>
      </c>
      <c r="F43" s="10">
        <v>7.0</v>
      </c>
      <c r="I43" s="11"/>
    </row>
    <row r="44">
      <c r="A44" s="9" t="s">
        <v>8</v>
      </c>
      <c r="B44" s="10">
        <v>4.339253573197901</v>
      </c>
      <c r="C44" s="10">
        <v>4.0</v>
      </c>
      <c r="D44" s="10">
        <v>4.0</v>
      </c>
      <c r="E44" s="10">
        <v>4.0</v>
      </c>
      <c r="F44" s="16">
        <v>5.0</v>
      </c>
      <c r="I44" s="11"/>
    </row>
    <row r="45">
      <c r="A45" s="12" t="s">
        <v>9</v>
      </c>
      <c r="B45" s="13">
        <v>3.8112296207537932</v>
      </c>
      <c r="C45" s="13">
        <v>4.0</v>
      </c>
      <c r="D45" s="13">
        <v>3.0</v>
      </c>
      <c r="E45" s="13">
        <v>4.0</v>
      </c>
      <c r="F45" s="13">
        <v>3.8595071763812347</v>
      </c>
    </row>
    <row r="46">
      <c r="A46" s="9" t="s">
        <v>15</v>
      </c>
      <c r="B46" s="10">
        <v>13.636363636363637</v>
      </c>
      <c r="C46" s="10">
        <v>13.636363636363635</v>
      </c>
      <c r="D46" s="10">
        <v>12.545454545454545</v>
      </c>
      <c r="E46" s="10">
        <v>13.636363636363635</v>
      </c>
      <c r="F46" s="10">
        <v>13.636363636363631</v>
      </c>
    </row>
    <row r="47">
      <c r="A47" s="9" t="s">
        <v>16</v>
      </c>
      <c r="B47" s="10">
        <v>9.090909090909092</v>
      </c>
      <c r="C47" s="10">
        <v>9.09090909090909</v>
      </c>
      <c r="D47" s="10">
        <v>8.363636363636363</v>
      </c>
      <c r="E47" s="10">
        <v>9.09090909090909</v>
      </c>
      <c r="F47" s="10">
        <v>9.090909090909086</v>
      </c>
    </row>
    <row r="48">
      <c r="A48" s="9" t="s">
        <v>17</v>
      </c>
      <c r="B48" s="10">
        <v>2.272727272727273</v>
      </c>
      <c r="C48" s="10">
        <v>2.2727272727272725</v>
      </c>
      <c r="D48" s="10">
        <v>2.090909090909091</v>
      </c>
      <c r="E48" s="10">
        <v>2.2727272727272725</v>
      </c>
      <c r="F48" s="10">
        <v>2.2727272727272716</v>
      </c>
    </row>
    <row r="49">
      <c r="A49" s="9" t="s">
        <v>18</v>
      </c>
      <c r="B49" s="10">
        <v>0.0</v>
      </c>
      <c r="C49" s="10">
        <v>0.0</v>
      </c>
      <c r="D49" s="10">
        <v>0.0</v>
      </c>
      <c r="E49" s="10">
        <v>0.0</v>
      </c>
      <c r="F49" s="10">
        <v>0.0</v>
      </c>
    </row>
    <row r="50">
      <c r="A50" s="9" t="s">
        <v>19</v>
      </c>
      <c r="B50" s="10">
        <v>0.0</v>
      </c>
      <c r="C50" s="10">
        <v>0.0</v>
      </c>
      <c r="D50" s="10">
        <v>0.0</v>
      </c>
      <c r="E50" s="10">
        <v>0.0</v>
      </c>
      <c r="F50" s="10">
        <v>0.0</v>
      </c>
    </row>
    <row r="51">
      <c r="A51" s="9" t="s">
        <v>20</v>
      </c>
      <c r="B51" s="10">
        <v>0.0</v>
      </c>
      <c r="C51" s="10">
        <v>0.0</v>
      </c>
      <c r="D51" s="10">
        <v>0.0</v>
      </c>
      <c r="E51" s="10">
        <v>0.0</v>
      </c>
      <c r="F51" s="10">
        <v>0.0</v>
      </c>
    </row>
    <row r="52">
      <c r="A52" s="9" t="s">
        <v>21</v>
      </c>
      <c r="B52" s="10">
        <v>13.636363636363637</v>
      </c>
      <c r="C52" s="10">
        <v>13.636363636363635</v>
      </c>
      <c r="D52" s="10">
        <v>12.545454545454545</v>
      </c>
      <c r="E52" s="10">
        <v>13.636363636363635</v>
      </c>
      <c r="F52" s="10">
        <v>13.636363636363631</v>
      </c>
    </row>
    <row r="53">
      <c r="A53" s="9" t="s">
        <v>22</v>
      </c>
      <c r="B53" s="10">
        <v>9.090909090909092</v>
      </c>
      <c r="C53" s="10">
        <v>9.09090909090909</v>
      </c>
      <c r="D53" s="10">
        <v>8.363636363636363</v>
      </c>
      <c r="E53" s="10">
        <v>9.09090909090909</v>
      </c>
      <c r="F53" s="10">
        <v>9.090909090909086</v>
      </c>
    </row>
    <row r="54">
      <c r="A54" s="9" t="s">
        <v>23</v>
      </c>
      <c r="B54" s="10">
        <v>2.272727272727273</v>
      </c>
      <c r="C54" s="10">
        <v>2.2727272727272725</v>
      </c>
      <c r="D54" s="10">
        <v>2.090909090909091</v>
      </c>
      <c r="E54" s="10">
        <v>2.2727272727272725</v>
      </c>
      <c r="F54" s="10">
        <v>2.2727272727272716</v>
      </c>
    </row>
    <row r="55">
      <c r="A55" s="9" t="s">
        <v>24</v>
      </c>
      <c r="B55" s="10">
        <v>3.8657246776455967</v>
      </c>
      <c r="C55" s="10">
        <v>3.8657246776455967</v>
      </c>
      <c r="D55" s="10">
        <v>3.457038417821435</v>
      </c>
      <c r="E55" s="10">
        <v>3.8657246776455967</v>
      </c>
      <c r="F55" s="10">
        <v>3.849781917490634</v>
      </c>
    </row>
    <row r="56">
      <c r="A56" s="9" t="s">
        <v>25</v>
      </c>
      <c r="B56" s="10">
        <v>3.0975686084309664</v>
      </c>
      <c r="C56" s="10">
        <v>3.0975686084309664</v>
      </c>
      <c r="D56" s="10">
        <v>2.770092175241369</v>
      </c>
      <c r="E56" s="10">
        <v>3.0975686084309664</v>
      </c>
      <c r="F56" s="10">
        <v>3.0847938255620955</v>
      </c>
    </row>
    <row r="57">
      <c r="A57" s="9" t="s">
        <v>26</v>
      </c>
      <c r="B57" s="10">
        <v>0.3423226629763149</v>
      </c>
      <c r="C57" s="10">
        <v>0.3423226629763149</v>
      </c>
      <c r="D57" s="10">
        <v>0.3061321474970687</v>
      </c>
      <c r="E57" s="10">
        <v>0.3423226629763149</v>
      </c>
      <c r="F57" s="10">
        <v>0.34091087901171985</v>
      </c>
    </row>
    <row r="58">
      <c r="A58" s="9" t="s">
        <v>27</v>
      </c>
      <c r="B58" s="10">
        <v>2.296091080814019</v>
      </c>
      <c r="C58" s="10">
        <v>2.296091080814019</v>
      </c>
      <c r="D58" s="10">
        <v>2.0533472347610675</v>
      </c>
      <c r="E58" s="10">
        <v>2.296091080814019</v>
      </c>
      <c r="F58" s="10">
        <v>2.342711114215193</v>
      </c>
    </row>
    <row r="59">
      <c r="A59" s="9" t="s">
        <v>28</v>
      </c>
      <c r="B59" s="10">
        <v>1.8398360584643474</v>
      </c>
      <c r="C59" s="10">
        <v>1.8398360584643474</v>
      </c>
      <c r="D59" s="10">
        <v>1.645327711356355</v>
      </c>
      <c r="E59" s="10">
        <v>1.8398360584643474</v>
      </c>
      <c r="F59" s="10">
        <v>1.8771922501306997</v>
      </c>
    </row>
    <row r="60">
      <c r="A60" s="9" t="s">
        <v>29</v>
      </c>
      <c r="B60" s="10">
        <v>0.20332643391953428</v>
      </c>
      <c r="C60" s="10">
        <v>0.20332643391953428</v>
      </c>
      <c r="D60" s="10">
        <v>0.18183066618354304</v>
      </c>
      <c r="E60" s="10">
        <v>0.20332643391953428</v>
      </c>
      <c r="F60" s="10">
        <v>0.20745479155302574</v>
      </c>
    </row>
    <row r="61">
      <c r="A61" s="9" t="s">
        <v>30</v>
      </c>
      <c r="B61" s="10">
        <v>2.016690242118717</v>
      </c>
      <c r="C61" s="10">
        <v>2.016690242118717</v>
      </c>
      <c r="D61" s="10">
        <v>1.8034847862202499</v>
      </c>
      <c r="E61" s="10">
        <v>2.016690242118717</v>
      </c>
      <c r="F61" s="10">
        <v>2.042236033119351</v>
      </c>
    </row>
    <row r="62">
      <c r="A62" s="9" t="s">
        <v>31</v>
      </c>
      <c r="B62" s="10">
        <v>1.8398360584643474</v>
      </c>
      <c r="C62" s="10">
        <v>1.8398360584643474</v>
      </c>
      <c r="D62" s="10">
        <v>1.645327711356355</v>
      </c>
      <c r="E62" s="10">
        <v>1.8398360584643474</v>
      </c>
      <c r="F62" s="10">
        <v>1.8771922501306997</v>
      </c>
    </row>
    <row r="63">
      <c r="A63" s="9" t="s">
        <v>32</v>
      </c>
      <c r="B63" s="10">
        <v>0.1785845686508871</v>
      </c>
      <c r="C63" s="10">
        <v>0.1785845686508871</v>
      </c>
      <c r="D63" s="10">
        <v>0.1597045227318659</v>
      </c>
      <c r="E63" s="10">
        <v>0.1785845686508871</v>
      </c>
      <c r="F63" s="10">
        <v>0.18084673265179052</v>
      </c>
    </row>
    <row r="64">
      <c r="A64" s="9" t="s">
        <v>33</v>
      </c>
      <c r="B64" s="10">
        <v>35.45123327330561</v>
      </c>
      <c r="C64" s="10">
        <v>35.45123327330561</v>
      </c>
      <c r="D64" s="10">
        <v>32.40477952971184</v>
      </c>
      <c r="E64" s="10">
        <v>35.45123327330561</v>
      </c>
      <c r="F64" s="10">
        <v>35.50745633755244</v>
      </c>
    </row>
    <row r="65">
      <c r="A65" s="9" t="s">
        <v>34</v>
      </c>
      <c r="B65" s="10">
        <v>24.95905890717784</v>
      </c>
      <c r="C65" s="10">
        <v>24.959058907177837</v>
      </c>
      <c r="D65" s="10">
        <v>22.788020325226807</v>
      </c>
      <c r="E65" s="10">
        <v>24.959058907177837</v>
      </c>
      <c r="F65" s="10">
        <v>25.02099650764167</v>
      </c>
    </row>
    <row r="66">
      <c r="A66" s="9" t="s">
        <v>35</v>
      </c>
      <c r="B66" s="10">
        <v>5.269688211001283</v>
      </c>
      <c r="C66" s="10">
        <v>5.269688211001282</v>
      </c>
      <c r="D66" s="10">
        <v>4.829485518230659</v>
      </c>
      <c r="E66" s="10">
        <v>5.269688211001282</v>
      </c>
      <c r="F66" s="10">
        <v>5.274666948671079</v>
      </c>
    </row>
    <row r="67">
      <c r="A67" s="14"/>
      <c r="B67" s="11">
        <f t="shared" ref="B67:E67" si="2">B39/B4</f>
        <v>0.04689740796</v>
      </c>
      <c r="C67" s="11">
        <f t="shared" si="2"/>
        <v>0.04678908533</v>
      </c>
      <c r="D67" s="11">
        <f t="shared" si="2"/>
        <v>0.04749084797</v>
      </c>
      <c r="E67" s="11">
        <f t="shared" si="2"/>
        <v>0.04678908533</v>
      </c>
      <c r="F67" s="11">
        <v>0.047361400194544344</v>
      </c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7" t="s">
        <v>36</v>
      </c>
    </row>
    <row r="2">
      <c r="A2" s="17" t="s">
        <v>37</v>
      </c>
      <c r="B2" s="11">
        <f>(SUM(MM!B43:E43)+SUM(Inmo!B45:E45)/2)/SUM(MM!B8:E8)</f>
        <v>0.05612286507</v>
      </c>
    </row>
    <row r="3">
      <c r="A3" s="17" t="s">
        <v>8</v>
      </c>
      <c r="B3" s="11">
        <f>(SUM(MM!B44:E44)+SUM(Inmo!B43:E43)/2)/SUM(MM!B9:E9)</f>
        <v>0.07703516833</v>
      </c>
    </row>
    <row r="5">
      <c r="B5" s="17">
        <v>300.0</v>
      </c>
    </row>
    <row r="6">
      <c r="B6" s="17">
        <v>4.0</v>
      </c>
    </row>
    <row r="7">
      <c r="B7" s="11">
        <f>B6/B5</f>
        <v>0.01333333333</v>
      </c>
      <c r="C7" s="18">
        <v>0.02</v>
      </c>
      <c r="D7" s="11">
        <f>B7/C7</f>
        <v>0.6666666667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/>
      <c r="B1" s="2" t="s">
        <v>0</v>
      </c>
      <c r="C1" s="3"/>
      <c r="D1" s="3"/>
      <c r="E1" s="3"/>
    </row>
    <row r="2">
      <c r="A2" s="4"/>
      <c r="B2" s="5">
        <v>5.0</v>
      </c>
      <c r="C2" s="5">
        <v>5.0</v>
      </c>
      <c r="D2" s="5">
        <v>5.0</v>
      </c>
      <c r="E2" s="5">
        <v>5.0</v>
      </c>
    </row>
    <row r="3">
      <c r="A3" s="6"/>
      <c r="B3" s="5">
        <v>1.0</v>
      </c>
      <c r="C3" s="5">
        <v>2.0</v>
      </c>
      <c r="D3" s="5">
        <v>3.0</v>
      </c>
      <c r="E3" s="5">
        <v>4.0</v>
      </c>
    </row>
    <row r="4">
      <c r="A4" s="19" t="s">
        <v>3</v>
      </c>
      <c r="B4" s="20">
        <v>1500.0</v>
      </c>
      <c r="C4" s="20">
        <v>1500.0</v>
      </c>
      <c r="D4" s="20">
        <v>1500.0</v>
      </c>
      <c r="E4" s="20">
        <v>1500.0</v>
      </c>
      <c r="F4" s="21"/>
    </row>
    <row r="5">
      <c r="A5" s="22" t="s">
        <v>38</v>
      </c>
      <c r="B5" s="16">
        <v>557.0</v>
      </c>
      <c r="C5" s="16">
        <v>557.0</v>
      </c>
      <c r="D5" s="16">
        <v>557.0</v>
      </c>
      <c r="E5" s="16">
        <v>557.0</v>
      </c>
      <c r="F5" s="21"/>
    </row>
    <row r="6">
      <c r="A6" s="22" t="s">
        <v>39</v>
      </c>
      <c r="B6" s="16">
        <v>556.0</v>
      </c>
      <c r="C6" s="16">
        <v>556.0</v>
      </c>
      <c r="D6" s="16">
        <v>556.0</v>
      </c>
      <c r="E6" s="16">
        <v>556.0</v>
      </c>
      <c r="F6" s="21"/>
    </row>
    <row r="7">
      <c r="A7" s="22" t="s">
        <v>8</v>
      </c>
      <c r="B7" s="16">
        <v>118.0</v>
      </c>
      <c r="C7" s="16">
        <v>118.0</v>
      </c>
      <c r="D7" s="16">
        <v>118.0</v>
      </c>
      <c r="E7" s="16">
        <v>118.0</v>
      </c>
    </row>
    <row r="8">
      <c r="A8" s="22" t="s">
        <v>9</v>
      </c>
      <c r="B8" s="16">
        <v>121.0</v>
      </c>
      <c r="C8" s="16">
        <v>121.0</v>
      </c>
      <c r="D8" s="16">
        <v>121.0</v>
      </c>
      <c r="E8" s="16">
        <v>121.0</v>
      </c>
    </row>
    <row r="9">
      <c r="A9" s="22" t="s">
        <v>37</v>
      </c>
      <c r="B9" s="16">
        <v>147.0</v>
      </c>
      <c r="C9" s="16">
        <v>147.0</v>
      </c>
      <c r="D9" s="16">
        <v>147.0</v>
      </c>
      <c r="E9" s="16">
        <v>147.0</v>
      </c>
    </row>
    <row r="10">
      <c r="A10" s="19" t="s">
        <v>40</v>
      </c>
      <c r="B10" s="23">
        <v>856.0</v>
      </c>
      <c r="C10" s="23">
        <v>856.0</v>
      </c>
      <c r="D10" s="23">
        <v>856.0</v>
      </c>
      <c r="E10" s="23">
        <v>856.0</v>
      </c>
      <c r="F10" s="21"/>
    </row>
    <row r="11">
      <c r="A11" s="22" t="s">
        <v>38</v>
      </c>
      <c r="B11" s="16">
        <v>293.0</v>
      </c>
      <c r="C11" s="16">
        <v>293.0</v>
      </c>
      <c r="D11" s="16">
        <v>293.0</v>
      </c>
      <c r="E11" s="16">
        <v>293.0</v>
      </c>
      <c r="F11" s="21"/>
    </row>
    <row r="12">
      <c r="A12" s="22" t="s">
        <v>39</v>
      </c>
      <c r="B12" s="16">
        <v>292.0</v>
      </c>
      <c r="C12" s="16">
        <v>292.0</v>
      </c>
      <c r="D12" s="16">
        <v>292.0</v>
      </c>
      <c r="E12" s="16">
        <v>292.0</v>
      </c>
      <c r="F12" s="21"/>
    </row>
    <row r="13">
      <c r="A13" s="22" t="s">
        <v>8</v>
      </c>
      <c r="B13" s="16">
        <v>67.0</v>
      </c>
      <c r="C13" s="16">
        <v>67.0</v>
      </c>
      <c r="D13" s="16">
        <v>67.0</v>
      </c>
      <c r="E13" s="16">
        <v>67.0</v>
      </c>
    </row>
    <row r="14">
      <c r="A14" s="22" t="s">
        <v>9</v>
      </c>
      <c r="B14" s="16">
        <v>67.0</v>
      </c>
      <c r="C14" s="16">
        <v>67.0</v>
      </c>
      <c r="D14" s="16">
        <v>67.0</v>
      </c>
      <c r="E14" s="16">
        <v>67.0</v>
      </c>
    </row>
    <row r="15">
      <c r="A15" s="22" t="s">
        <v>37</v>
      </c>
      <c r="B15" s="16">
        <v>137.0</v>
      </c>
      <c r="C15" s="16">
        <v>137.0</v>
      </c>
      <c r="D15" s="16">
        <v>137.0</v>
      </c>
      <c r="E15" s="16">
        <v>137.0</v>
      </c>
    </row>
    <row r="16">
      <c r="A16" s="19" t="s">
        <v>41</v>
      </c>
      <c r="B16" s="23">
        <v>333.0</v>
      </c>
      <c r="C16" s="23">
        <v>333.0</v>
      </c>
      <c r="D16" s="23">
        <v>333.0</v>
      </c>
      <c r="E16" s="23">
        <v>333.0</v>
      </c>
      <c r="F16" s="21"/>
    </row>
    <row r="17">
      <c r="A17" s="22" t="s">
        <v>38</v>
      </c>
      <c r="B17" s="16">
        <v>120.0</v>
      </c>
      <c r="C17" s="16">
        <v>120.0</v>
      </c>
      <c r="D17" s="16">
        <v>120.0</v>
      </c>
      <c r="E17" s="16">
        <v>120.0</v>
      </c>
    </row>
    <row r="18">
      <c r="A18" s="22" t="s">
        <v>39</v>
      </c>
      <c r="B18" s="16">
        <v>119.0</v>
      </c>
      <c r="C18" s="16">
        <v>119.0</v>
      </c>
      <c r="D18" s="16">
        <v>119.0</v>
      </c>
      <c r="E18" s="16">
        <v>119.0</v>
      </c>
    </row>
    <row r="19">
      <c r="A19" s="22" t="s">
        <v>8</v>
      </c>
      <c r="B19" s="16">
        <v>22.0</v>
      </c>
      <c r="C19" s="16">
        <v>22.0</v>
      </c>
      <c r="D19" s="16">
        <v>22.0</v>
      </c>
      <c r="E19" s="16">
        <v>22.0</v>
      </c>
    </row>
    <row r="20">
      <c r="A20" s="22" t="s">
        <v>9</v>
      </c>
      <c r="B20" s="16">
        <v>20.0</v>
      </c>
      <c r="C20" s="16">
        <v>20.0</v>
      </c>
      <c r="D20" s="16">
        <v>20.0</v>
      </c>
      <c r="E20" s="16">
        <v>20.0</v>
      </c>
    </row>
    <row r="21">
      <c r="A21" s="22" t="s">
        <v>37</v>
      </c>
      <c r="B21" s="16">
        <v>51.0</v>
      </c>
      <c r="C21" s="16">
        <v>51.0</v>
      </c>
      <c r="D21" s="16">
        <v>51.0</v>
      </c>
      <c r="E21" s="16">
        <v>51.0</v>
      </c>
    </row>
    <row r="22">
      <c r="A22" s="19" t="s">
        <v>42</v>
      </c>
      <c r="B22" s="23">
        <v>309.0</v>
      </c>
      <c r="C22" s="23">
        <v>309.0</v>
      </c>
      <c r="D22" s="23">
        <v>309.0</v>
      </c>
      <c r="E22" s="23">
        <v>309.0</v>
      </c>
      <c r="F22" s="21"/>
    </row>
    <row r="23">
      <c r="A23" s="22" t="s">
        <v>38</v>
      </c>
      <c r="B23" s="16">
        <v>118.0</v>
      </c>
      <c r="C23" s="16">
        <v>118.0</v>
      </c>
      <c r="D23" s="16">
        <v>118.0</v>
      </c>
      <c r="E23" s="16">
        <v>118.0</v>
      </c>
    </row>
    <row r="24">
      <c r="A24" s="22" t="s">
        <v>39</v>
      </c>
      <c r="B24" s="16">
        <v>118.0</v>
      </c>
      <c r="C24" s="16">
        <v>118.0</v>
      </c>
      <c r="D24" s="16">
        <v>118.0</v>
      </c>
      <c r="E24" s="16">
        <v>118.0</v>
      </c>
    </row>
    <row r="25">
      <c r="A25" s="22" t="s">
        <v>8</v>
      </c>
      <c r="B25" s="16">
        <v>24.0</v>
      </c>
      <c r="C25" s="16">
        <v>24.0</v>
      </c>
      <c r="D25" s="16">
        <v>24.0</v>
      </c>
      <c r="E25" s="16">
        <v>24.0</v>
      </c>
    </row>
    <row r="26">
      <c r="A26" s="22" t="s">
        <v>9</v>
      </c>
      <c r="B26" s="16">
        <v>23.0</v>
      </c>
      <c r="C26" s="16">
        <v>23.0</v>
      </c>
      <c r="D26" s="16">
        <v>23.0</v>
      </c>
      <c r="E26" s="16">
        <v>23.0</v>
      </c>
    </row>
    <row r="27">
      <c r="A27" s="22" t="s">
        <v>37</v>
      </c>
      <c r="B27" s="16">
        <v>26.0</v>
      </c>
      <c r="C27" s="16">
        <v>26.0</v>
      </c>
      <c r="D27" s="16">
        <v>26.0</v>
      </c>
      <c r="E27" s="16">
        <v>26.0</v>
      </c>
    </row>
    <row r="28">
      <c r="A28" s="19" t="s">
        <v>43</v>
      </c>
      <c r="B28" s="23">
        <v>173.0</v>
      </c>
      <c r="C28" s="23">
        <v>173.0</v>
      </c>
      <c r="D28" s="23">
        <v>173.0</v>
      </c>
      <c r="E28" s="23">
        <v>173.0</v>
      </c>
    </row>
    <row r="29">
      <c r="A29" s="22" t="s">
        <v>38</v>
      </c>
      <c r="B29" s="16">
        <v>64.0</v>
      </c>
      <c r="C29" s="16">
        <v>64.0</v>
      </c>
      <c r="D29" s="16">
        <v>64.0</v>
      </c>
      <c r="E29" s="16">
        <v>64.0</v>
      </c>
    </row>
    <row r="30">
      <c r="A30" s="22" t="s">
        <v>39</v>
      </c>
      <c r="B30" s="16">
        <v>64.0</v>
      </c>
      <c r="C30" s="16">
        <v>64.0</v>
      </c>
      <c r="D30" s="16">
        <v>64.0</v>
      </c>
      <c r="E30" s="16">
        <v>64.0</v>
      </c>
    </row>
    <row r="31">
      <c r="A31" s="22" t="s">
        <v>8</v>
      </c>
      <c r="B31" s="16">
        <v>13.0</v>
      </c>
      <c r="C31" s="16">
        <v>13.0</v>
      </c>
      <c r="D31" s="16">
        <v>13.0</v>
      </c>
      <c r="E31" s="16">
        <v>13.0</v>
      </c>
    </row>
    <row r="32">
      <c r="A32" s="22" t="s">
        <v>9</v>
      </c>
      <c r="B32" s="16">
        <v>15.0</v>
      </c>
      <c r="C32" s="16">
        <v>15.0</v>
      </c>
      <c r="D32" s="16">
        <v>15.0</v>
      </c>
      <c r="E32" s="16">
        <v>15.0</v>
      </c>
    </row>
    <row r="33">
      <c r="A33" s="22" t="s">
        <v>37</v>
      </c>
      <c r="B33" s="16">
        <v>17.0</v>
      </c>
      <c r="C33" s="16">
        <v>17.0</v>
      </c>
      <c r="D33" s="16">
        <v>17.0</v>
      </c>
      <c r="E33" s="16">
        <v>17.0</v>
      </c>
    </row>
    <row r="34">
      <c r="A34" s="19" t="s">
        <v>44</v>
      </c>
      <c r="B34" s="23">
        <v>133.0</v>
      </c>
      <c r="C34" s="23">
        <v>133.0</v>
      </c>
      <c r="D34" s="23">
        <v>133.0</v>
      </c>
      <c r="E34" s="23">
        <v>133.0</v>
      </c>
    </row>
    <row r="35">
      <c r="A35" s="22" t="s">
        <v>38</v>
      </c>
      <c r="B35" s="16">
        <v>51.0</v>
      </c>
      <c r="C35" s="16">
        <v>51.0</v>
      </c>
      <c r="D35" s="16">
        <v>51.0</v>
      </c>
      <c r="E35" s="16">
        <v>51.0</v>
      </c>
    </row>
    <row r="36">
      <c r="A36" s="22" t="s">
        <v>39</v>
      </c>
      <c r="B36" s="16">
        <v>52.0</v>
      </c>
      <c r="C36" s="16">
        <v>52.0</v>
      </c>
      <c r="D36" s="16">
        <v>52.0</v>
      </c>
      <c r="E36" s="16">
        <v>52.0</v>
      </c>
    </row>
    <row r="37">
      <c r="A37" s="22" t="s">
        <v>8</v>
      </c>
      <c r="B37" s="16">
        <v>9.0</v>
      </c>
      <c r="C37" s="16">
        <v>9.0</v>
      </c>
      <c r="D37" s="16">
        <v>9.0</v>
      </c>
      <c r="E37" s="16">
        <v>9.0</v>
      </c>
    </row>
    <row r="38">
      <c r="A38" s="22" t="s">
        <v>9</v>
      </c>
      <c r="B38" s="16">
        <v>12.0</v>
      </c>
      <c r="C38" s="16">
        <v>12.0</v>
      </c>
      <c r="D38" s="16">
        <v>12.0</v>
      </c>
      <c r="E38" s="16">
        <v>12.0</v>
      </c>
    </row>
    <row r="39">
      <c r="A39" s="22" t="s">
        <v>37</v>
      </c>
      <c r="B39" s="16">
        <v>8.0</v>
      </c>
      <c r="C39" s="16">
        <v>8.0</v>
      </c>
      <c r="D39" s="16">
        <v>8.0</v>
      </c>
      <c r="E39" s="16">
        <v>8.0</v>
      </c>
    </row>
    <row r="40">
      <c r="A40" s="19" t="s">
        <v>45</v>
      </c>
      <c r="B40" s="23">
        <v>98.0</v>
      </c>
      <c r="C40" s="23">
        <v>98.0</v>
      </c>
      <c r="D40" s="23">
        <v>98.0</v>
      </c>
      <c r="E40" s="23">
        <v>98.0</v>
      </c>
    </row>
    <row r="41">
      <c r="A41" s="22" t="s">
        <v>38</v>
      </c>
      <c r="B41" s="16">
        <v>38.0</v>
      </c>
      <c r="C41" s="16">
        <v>38.0</v>
      </c>
      <c r="D41" s="16">
        <v>38.0</v>
      </c>
      <c r="E41" s="16">
        <v>38.0</v>
      </c>
    </row>
    <row r="42">
      <c r="A42" s="22" t="s">
        <v>39</v>
      </c>
      <c r="B42" s="16">
        <v>39.0</v>
      </c>
      <c r="C42" s="16">
        <v>39.0</v>
      </c>
      <c r="D42" s="16">
        <v>39.0</v>
      </c>
      <c r="E42" s="16">
        <v>39.0</v>
      </c>
    </row>
    <row r="43">
      <c r="A43" s="22" t="s">
        <v>8</v>
      </c>
      <c r="B43" s="16">
        <v>7.0</v>
      </c>
      <c r="C43" s="16">
        <v>7.0</v>
      </c>
      <c r="D43" s="16">
        <v>7.0</v>
      </c>
      <c r="E43" s="16">
        <v>7.0</v>
      </c>
    </row>
    <row r="44">
      <c r="A44" s="22" t="s">
        <v>9</v>
      </c>
      <c r="B44" s="16">
        <v>8.0</v>
      </c>
      <c r="C44" s="16">
        <v>8.0</v>
      </c>
      <c r="D44" s="16">
        <v>8.0</v>
      </c>
      <c r="E44" s="16">
        <v>8.0</v>
      </c>
    </row>
    <row r="45">
      <c r="A45" s="22" t="s">
        <v>37</v>
      </c>
      <c r="B45" s="16">
        <v>6.0</v>
      </c>
      <c r="C45" s="16">
        <v>6.0</v>
      </c>
      <c r="D45" s="16">
        <v>6.0</v>
      </c>
      <c r="E45" s="16">
        <v>6.0</v>
      </c>
    </row>
  </sheetData>
  <drawing r:id="rId1"/>
</worksheet>
</file>